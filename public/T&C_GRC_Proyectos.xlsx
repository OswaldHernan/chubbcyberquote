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chubbgroup-my.sharepoint.com/personal/oswaldo_hernandez_chubb_com/Documents/Desktop/T&amp;C/"/>
    </mc:Choice>
  </mc:AlternateContent>
  <xr:revisionPtr revIDLastSave="44" documentId="8_{B03FA89C-51D3-49FE-895A-F1847913473C}" xr6:coauthVersionLast="47" xr6:coauthVersionMax="47" xr10:uidLastSave="{1F7AAE95-2091-4EE9-A139-2D4572513386}"/>
  <bookViews>
    <workbookView xWindow="-120" yWindow="-120" windowWidth="20730" windowHeight="11040" xr2:uid="{998CF847-EED9-4A39-84C9-F9D39C3CC310}"/>
  </bookViews>
  <sheets>
    <sheet name="T&amp;C SIGMA" sheetId="1" r:id="rId1"/>
    <sheet name="P&amp;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2" i="1"/>
  <c r="C13" i="1"/>
  <c r="E60" i="2"/>
  <c r="D60" i="2"/>
  <c r="C60" i="2"/>
  <c r="F59" i="2"/>
  <c r="G59" i="2" s="1"/>
  <c r="F58" i="2"/>
  <c r="G57" i="2"/>
  <c r="F57" i="2"/>
  <c r="F56" i="2"/>
  <c r="G56" i="2" s="1"/>
  <c r="G13" i="2"/>
  <c r="G52" i="2"/>
  <c r="G51" i="2"/>
  <c r="G50" i="2"/>
  <c r="G49" i="2"/>
  <c r="G47" i="2"/>
  <c r="E47" i="2"/>
  <c r="D47" i="2"/>
  <c r="C47" i="2"/>
  <c r="F46" i="2"/>
  <c r="G46" i="2" s="1"/>
  <c r="F45" i="2"/>
  <c r="G45" i="2" s="1"/>
  <c r="F44" i="2"/>
  <c r="F47" i="2" s="1"/>
  <c r="F43" i="2"/>
  <c r="G43" i="2" s="1"/>
  <c r="E34" i="2"/>
  <c r="D34" i="2"/>
  <c r="C34" i="2"/>
  <c r="F33" i="2"/>
  <c r="G33" i="2" s="1"/>
  <c r="F32" i="2"/>
  <c r="G32" i="2" s="1"/>
  <c r="F31" i="2"/>
  <c r="G31" i="2" s="1"/>
  <c r="F30" i="2"/>
  <c r="G30" i="2" s="1"/>
  <c r="E21" i="2"/>
  <c r="D21" i="2"/>
  <c r="C21" i="2"/>
  <c r="F20" i="2"/>
  <c r="G20" i="2" s="1"/>
  <c r="F19" i="2"/>
  <c r="F18" i="2"/>
  <c r="G18" i="2" s="1"/>
  <c r="F17" i="2"/>
  <c r="G17" i="2" s="1"/>
  <c r="E8" i="2"/>
  <c r="D8" i="2"/>
  <c r="C8" i="2"/>
  <c r="F7" i="2"/>
  <c r="G7" i="2" s="1"/>
  <c r="F6" i="2"/>
  <c r="G6" i="2" s="1"/>
  <c r="F5" i="2"/>
  <c r="G5" i="2" s="1"/>
  <c r="F4" i="2"/>
  <c r="F60" i="2" l="1"/>
  <c r="G63" i="2" s="1"/>
  <c r="G62" i="2"/>
  <c r="G64" i="2"/>
  <c r="G58" i="2"/>
  <c r="G60" i="2" s="1"/>
  <c r="G44" i="2"/>
  <c r="G34" i="2"/>
  <c r="G36" i="2"/>
  <c r="G38" i="2"/>
  <c r="F34" i="2"/>
  <c r="G37" i="2" s="1"/>
  <c r="F21" i="2"/>
  <c r="G24" i="2" s="1"/>
  <c r="G23" i="2"/>
  <c r="G25" i="2"/>
  <c r="G19" i="2"/>
  <c r="G21" i="2" s="1"/>
  <c r="F8" i="2"/>
  <c r="G11" i="2" s="1"/>
  <c r="G10" i="2"/>
  <c r="G12" i="2"/>
  <c r="G4" i="2"/>
  <c r="G8" i="2" s="1"/>
  <c r="G65" i="2" l="1"/>
  <c r="G39" i="2"/>
  <c r="G26" i="2"/>
</calcChain>
</file>

<file path=xl/sharedStrings.xml><?xml version="1.0" encoding="utf-8"?>
<sst xmlns="http://schemas.openxmlformats.org/spreadsheetml/2006/main" count="146" uniqueCount="76">
  <si>
    <t xml:space="preserve">Term </t>
  </si>
  <si>
    <t xml:space="preserve">Expiring </t>
  </si>
  <si>
    <t>Limit</t>
  </si>
  <si>
    <t>Leader</t>
  </si>
  <si>
    <t>AXA</t>
  </si>
  <si>
    <t>Chubb</t>
  </si>
  <si>
    <t xml:space="preserve">Chubb share </t>
  </si>
  <si>
    <t xml:space="preserve">Deductible </t>
  </si>
  <si>
    <t>Waiting period</t>
  </si>
  <si>
    <t>BI &amp; CBI: 12 hrs</t>
  </si>
  <si>
    <t>Indemnity Period</t>
  </si>
  <si>
    <t>90 días</t>
  </si>
  <si>
    <t xml:space="preserve">Premium </t>
  </si>
  <si>
    <t>Unknwon</t>
  </si>
  <si>
    <t>Premium Target shared by the bróker</t>
  </si>
  <si>
    <t>Benchmark Premium</t>
  </si>
  <si>
    <t xml:space="preserve">B/Benchmark </t>
  </si>
  <si>
    <t>Cambio en prima</t>
  </si>
  <si>
    <t xml:space="preserve">GWP Rol </t>
  </si>
  <si>
    <t xml:space="preserve">Comission </t>
  </si>
  <si>
    <t>MRC</t>
  </si>
  <si>
    <t>N/A</t>
  </si>
  <si>
    <t>Extensions</t>
  </si>
  <si>
    <t>Ransomware sublimit</t>
  </si>
  <si>
    <t xml:space="preserve">Ransomware coinsurance </t>
  </si>
  <si>
    <t>Widespread sublimit</t>
  </si>
  <si>
    <t xml:space="preserve">Widespread coinsurance </t>
  </si>
  <si>
    <t xml:space="preserve">Emergency IR </t>
  </si>
  <si>
    <t>Rep Loss</t>
  </si>
  <si>
    <t xml:space="preserve">Cyber Crime </t>
  </si>
  <si>
    <t xml:space="preserve">Reward expenses </t>
  </si>
  <si>
    <t xml:space="preserve">Telecom fraud </t>
  </si>
  <si>
    <t xml:space="preserve">Consumer redress fund </t>
  </si>
  <si>
    <t>Payment Card Loss</t>
  </si>
  <si>
    <t xml:space="preserve">Regulatory fines </t>
  </si>
  <si>
    <t xml:space="preserve">Open System Peryls </t>
  </si>
  <si>
    <t>Neglected Software</t>
  </si>
  <si>
    <t>No escalonado</t>
  </si>
  <si>
    <t>Incident Response Expenses</t>
  </si>
  <si>
    <t xml:space="preserve">Sublimits </t>
  </si>
  <si>
    <t>Privacy</t>
  </si>
  <si>
    <t>Network security</t>
  </si>
  <si>
    <t xml:space="preserve">Media </t>
  </si>
  <si>
    <t xml:space="preserve">Cyber extorsion </t>
  </si>
  <si>
    <t xml:space="preserve">Data asset </t>
  </si>
  <si>
    <t>BI</t>
  </si>
  <si>
    <t>Contingent BI</t>
  </si>
  <si>
    <t>Preventative Shutdown</t>
  </si>
  <si>
    <t>Bricking</t>
  </si>
  <si>
    <t xml:space="preserve">Betterment cost </t>
  </si>
  <si>
    <t>CYBER</t>
  </si>
  <si>
    <t>Account</t>
  </si>
  <si>
    <t>Policy Term</t>
  </si>
  <si>
    <t>NPW</t>
  </si>
  <si>
    <t>Commission</t>
  </si>
  <si>
    <t>Claims</t>
  </si>
  <si>
    <t>U/W Expense</t>
  </si>
  <si>
    <t>P&amp;L</t>
  </si>
  <si>
    <t>Axtel</t>
  </si>
  <si>
    <t>2020-2021</t>
  </si>
  <si>
    <t>Alpek</t>
  </si>
  <si>
    <t>Nemak</t>
  </si>
  <si>
    <t>Sigma</t>
  </si>
  <si>
    <t>Total</t>
  </si>
  <si>
    <t>Commision Ratio</t>
  </si>
  <si>
    <t>Expense Ratio</t>
  </si>
  <si>
    <t>Loss Ratio</t>
  </si>
  <si>
    <t>Combined Ratio</t>
  </si>
  <si>
    <t>2021-2022</t>
  </si>
  <si>
    <t>2022-2023</t>
  </si>
  <si>
    <t>2023-2024</t>
  </si>
  <si>
    <t>2024-2025</t>
  </si>
  <si>
    <t>Option 1 USD</t>
  </si>
  <si>
    <t>BI &amp; CBI: 18 hrs</t>
  </si>
  <si>
    <t>T&amp;C || GRC Proyectos y Servicios S.A. de C.V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</si>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</sst>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0.0%"/>
    <numFmt numFmtId="167" formatCode="_-&quot;$&quot;* #,##0_-;\-&quot;$&quot;* #,##0_-;_-&quot;$&quot;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4">
    <xf numFmtId="0" fontId="0" fillId="0" borderId="0" xfId="0"/>
    <xf numFmtId="0" fontId="0" fillId="3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0" borderId="3" xfId="0" applyBorder="1"/>
    <xf numFmtId="44" fontId="0" fillId="3" borderId="3" xfId="3" applyFont="1" applyFill="1" applyBorder="1"/>
    <xf numFmtId="44" fontId="0" fillId="0" borderId="3" xfId="3" applyFont="1" applyFill="1" applyBorder="1"/>
    <xf numFmtId="0" fontId="3" fillId="0" borderId="3" xfId="0" applyFont="1" applyBorder="1"/>
    <xf numFmtId="44" fontId="3" fillId="0" borderId="3" xfId="3" applyFont="1" applyFill="1" applyBorder="1" applyAlignment="1">
      <alignment horizontal="center"/>
    </xf>
    <xf numFmtId="0" fontId="0" fillId="0" borderId="3" xfId="0" applyBorder="1" applyAlignment="1">
      <alignment horizontal="left" vertical="center"/>
    </xf>
    <xf numFmtId="44" fontId="0" fillId="0" borderId="3" xfId="3" applyFont="1" applyFill="1" applyBorder="1" applyAlignment="1">
      <alignment horizontal="left"/>
    </xf>
    <xf numFmtId="166" fontId="0" fillId="3" borderId="3" xfId="2" applyNumberFormat="1" applyFont="1" applyFill="1" applyBorder="1"/>
    <xf numFmtId="166" fontId="0" fillId="0" borderId="3" xfId="2" applyNumberFormat="1" applyFont="1" applyFill="1" applyBorder="1"/>
    <xf numFmtId="9" fontId="0" fillId="3" borderId="3" xfId="0" applyNumberFormat="1" applyFill="1" applyBorder="1"/>
    <xf numFmtId="9" fontId="0" fillId="0" borderId="3" xfId="2" applyFont="1" applyFill="1" applyBorder="1"/>
    <xf numFmtId="0" fontId="0" fillId="4" borderId="3" xfId="0" applyFill="1" applyBorder="1"/>
    <xf numFmtId="44" fontId="3" fillId="3" borderId="3" xfId="3" applyFont="1" applyFill="1" applyBorder="1"/>
    <xf numFmtId="9" fontId="0" fillId="0" borderId="3" xfId="0" applyNumberFormat="1" applyBorder="1"/>
    <xf numFmtId="44" fontId="0" fillId="0" borderId="3" xfId="3" applyFont="1" applyFill="1" applyBorder="1" applyAlignment="1">
      <alignment horizontal="center"/>
    </xf>
    <xf numFmtId="9" fontId="0" fillId="0" borderId="0" xfId="0" applyNumberFormat="1"/>
    <xf numFmtId="165" fontId="0" fillId="0" borderId="0" xfId="1" applyFont="1" applyFill="1" applyBorder="1"/>
    <xf numFmtId="165" fontId="0" fillId="0" borderId="0" xfId="1" applyFont="1"/>
    <xf numFmtId="0" fontId="3" fillId="5" borderId="3" xfId="0" applyFont="1" applyFill="1" applyBorder="1"/>
    <xf numFmtId="10" fontId="3" fillId="5" borderId="3" xfId="2" applyNumberFormat="1" applyFont="1" applyFill="1" applyBorder="1"/>
    <xf numFmtId="0" fontId="3" fillId="6" borderId="3" xfId="0" applyFont="1" applyFill="1" applyBorder="1"/>
    <xf numFmtId="44" fontId="0" fillId="6" borderId="3" xfId="3" applyFont="1" applyFill="1" applyBorder="1"/>
    <xf numFmtId="165" fontId="0" fillId="0" borderId="0" xfId="0" applyNumberFormat="1"/>
    <xf numFmtId="0" fontId="0" fillId="6" borderId="3" xfId="0" applyFill="1" applyBorder="1"/>
    <xf numFmtId="44" fontId="3" fillId="6" borderId="3" xfId="3" applyFont="1" applyFill="1" applyBorder="1" applyAlignment="1">
      <alignment horizontal="center"/>
    </xf>
    <xf numFmtId="44" fontId="0" fillId="3" borderId="3" xfId="3" applyFont="1" applyFill="1" applyBorder="1" applyAlignment="1">
      <alignment horizontal="center" wrapText="1"/>
    </xf>
    <xf numFmtId="0" fontId="0" fillId="0" borderId="3" xfId="0" applyBorder="1" applyAlignment="1">
      <alignment vertical="center"/>
    </xf>
    <xf numFmtId="0" fontId="4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167" fontId="0" fillId="9" borderId="0" xfId="3" applyNumberFormat="1" applyFont="1" applyFill="1"/>
    <xf numFmtId="167" fontId="0" fillId="9" borderId="0" xfId="0" applyNumberFormat="1" applyFill="1"/>
    <xf numFmtId="0" fontId="6" fillId="10" borderId="0" xfId="0" applyFont="1" applyFill="1" applyAlignment="1">
      <alignment horizontal="right"/>
    </xf>
    <xf numFmtId="0" fontId="0" fillId="10" borderId="0" xfId="0" applyFill="1"/>
    <xf numFmtId="167" fontId="6" fillId="10" borderId="0" xfId="3" applyNumberFormat="1" applyFont="1" applyFill="1"/>
    <xf numFmtId="0" fontId="0" fillId="9" borderId="0" xfId="0" applyFill="1"/>
    <xf numFmtId="44" fontId="0" fillId="9" borderId="0" xfId="3" applyFont="1" applyFill="1"/>
    <xf numFmtId="0" fontId="5" fillId="9" borderId="0" xfId="0" applyFont="1" applyFill="1"/>
    <xf numFmtId="9" fontId="0" fillId="9" borderId="0" xfId="2" applyFont="1" applyFill="1"/>
    <xf numFmtId="0" fontId="6" fillId="9" borderId="0" xfId="0" applyFont="1" applyFill="1"/>
    <xf numFmtId="9" fontId="6" fillId="9" borderId="0" xfId="2" applyFont="1" applyFill="1"/>
    <xf numFmtId="0" fontId="3" fillId="6" borderId="3" xfId="0" applyFont="1" applyFill="1" applyBorder="1" applyAlignment="1">
      <alignment horizontal="left" vertical="center"/>
    </xf>
    <xf numFmtId="44" fontId="3" fillId="6" borderId="3" xfId="3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10" fontId="0" fillId="4" borderId="3" xfId="0" applyNumberFormat="1" applyFill="1" applyBorder="1"/>
    <xf numFmtId="10" fontId="0" fillId="4" borderId="3" xfId="2" applyNumberFormat="1" applyFont="1" applyFill="1" applyBorder="1" applyAlignment="1">
      <alignment horizontal="center"/>
    </xf>
    <xf numFmtId="0" fontId="2" fillId="11" borderId="3" xfId="0" applyFont="1" applyFill="1" applyBorder="1"/>
    <xf numFmtId="44" fontId="2" fillId="11" borderId="3" xfId="3" applyFont="1" applyFill="1" applyBorder="1"/>
    <xf numFmtId="9" fontId="3" fillId="6" borderId="3" xfId="0" applyNumberFormat="1" applyFont="1" applyFill="1" applyBorder="1"/>
    <xf numFmtId="9" fontId="3" fillId="6" borderId="3" xfId="2" applyFont="1" applyFill="1" applyBorder="1" applyAlignment="1">
      <alignment horizontal="center"/>
    </xf>
    <xf numFmtId="164" fontId="8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9" fontId="4" fillId="7" borderId="0" xfId="2" applyFont="1" applyFill="1" applyAlignment="1">
      <alignment horizontal="center"/>
    </xf>
    <xf numFmtId="0" fontId="6" fillId="9" borderId="0" xfId="0" applyFont="1" applyFill="1" applyAlignment="1">
      <alignment horizontal="center" vertical="center"/>
    </xf>
    <xf numFmtId="0" fontId="0" fillId="12" borderId="3" xfId="0" applyFill="1" applyBorder="1"/>
    <xf numFmtId="44" fontId="0" fillId="12" borderId="3" xfId="3" applyFont="1" applyFill="1" applyBorder="1"/>
    <xf numFmtId="44" fontId="0" fillId="12" borderId="3" xfId="3" applyFont="1" applyFill="1" applyBorder="1" applyAlignment="1">
      <alignment horizontal="center"/>
    </xf>
    <xf numFmtId="0" fontId="7" fillId="12" borderId="3" xfId="0" applyFont="1" applyFill="1" applyBorder="1"/>
    <xf numFmtId="44" fontId="7" fillId="12" borderId="3" xfId="3" applyFont="1" applyFill="1" applyBorder="1"/>
  </cellXfs>
  <cellStyles count="4">
    <cellStyle name="Currency" xfId="1" builtinId="4"/>
    <cellStyle name="Currency 2" xfId="3" xr:uid="{D4154A1F-94EB-4BF9-9B58-84E9CCD5D7AC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8E8D-FB94-47EE-85D6-8CFCC081BAED}">
  <dimension ref="A1:J43"/>
  <sheetViews>
    <sheetView tabSelected="1" topLeftCell="A22" workbookViewId="0">
      <selection activeCell="E40" sqref="E40"/>
    </sheetView>
  </sheetViews>
  <sheetFormatPr defaultRowHeight="15" x14ac:dyDescent="0.25"/>
  <cols>
    <col min="1" max="1" width="31.5703125" bestFit="1" customWidth="1"/>
    <col min="2" max="2" width="15.85546875" hidden="1" customWidth="1"/>
    <col min="3" max="3" width="15.85546875" customWidth="1"/>
    <col min="5" max="5" width="15.5703125" bestFit="1" customWidth="1"/>
    <col min="6" max="6" width="14.5703125" bestFit="1" customWidth="1"/>
    <col min="9" max="10" width="12.85546875" bestFit="1" customWidth="1"/>
  </cols>
  <sheetData>
    <row r="1" spans="1:10" x14ac:dyDescent="0.25">
      <c r="A1" s="53" t="s">
        <v>74</v>
      </c>
      <c r="B1" s="54"/>
      <c r="C1" s="54"/>
    </row>
    <row r="2" spans="1:10" x14ac:dyDescent="0.25">
      <c r="A2" s="1" t="s">
        <v>0</v>
      </c>
      <c r="B2" s="2" t="s">
        <v>1</v>
      </c>
      <c r="C2" s="2" t="s">
        <v>72</v>
      </c>
    </row>
    <row r="3" spans="1:10" x14ac:dyDescent="0.25">
      <c r="A3" s="3" t="s">
        <v>2</v>
      </c>
      <c r="B3" s="4">
        <v>5000000</v>
      </c>
      <c r="C3" s="5">
        <v>1000000</v>
      </c>
    </row>
    <row r="4" spans="1:10" x14ac:dyDescent="0.25">
      <c r="A4" s="6" t="s">
        <v>3</v>
      </c>
      <c r="B4" s="45" t="s">
        <v>4</v>
      </c>
      <c r="C4" s="7" t="s">
        <v>5</v>
      </c>
    </row>
    <row r="5" spans="1:10" x14ac:dyDescent="0.25">
      <c r="A5" s="23" t="s">
        <v>6</v>
      </c>
      <c r="B5" s="50">
        <v>1</v>
      </c>
      <c r="C5" s="51">
        <v>1</v>
      </c>
    </row>
    <row r="6" spans="1:10" ht="18.600000000000001" customHeight="1" x14ac:dyDescent="0.25">
      <c r="A6" s="29" t="s">
        <v>7</v>
      </c>
      <c r="B6" s="28">
        <v>200000</v>
      </c>
      <c r="C6" s="9">
        <v>25000</v>
      </c>
      <c r="E6" s="20"/>
    </row>
    <row r="7" spans="1:10" x14ac:dyDescent="0.25">
      <c r="A7" s="43" t="s">
        <v>8</v>
      </c>
      <c r="B7" s="44" t="s">
        <v>9</v>
      </c>
      <c r="C7" s="44" t="s">
        <v>73</v>
      </c>
      <c r="E7" s="20"/>
      <c r="F7" s="25"/>
      <c r="G7" s="18"/>
      <c r="I7" s="25"/>
      <c r="J7" s="25"/>
    </row>
    <row r="8" spans="1:10" x14ac:dyDescent="0.25">
      <c r="A8" s="8" t="s">
        <v>10</v>
      </c>
      <c r="B8" s="2" t="s">
        <v>11</v>
      </c>
      <c r="C8" s="17" t="s">
        <v>11</v>
      </c>
      <c r="F8" s="25"/>
      <c r="G8" s="18"/>
      <c r="I8" s="25"/>
      <c r="J8" s="25"/>
    </row>
    <row r="9" spans="1:10" x14ac:dyDescent="0.25">
      <c r="A9" s="23" t="s">
        <v>12</v>
      </c>
      <c r="B9" s="27" t="s">
        <v>13</v>
      </c>
      <c r="C9" s="27">
        <v>9200</v>
      </c>
      <c r="F9" s="25"/>
      <c r="G9" s="18"/>
      <c r="I9" s="25"/>
      <c r="J9" s="25"/>
    </row>
    <row r="10" spans="1:10" hidden="1" x14ac:dyDescent="0.25">
      <c r="A10" s="48" t="s">
        <v>14</v>
      </c>
      <c r="B10" s="49">
        <v>99000</v>
      </c>
      <c r="C10" s="48"/>
      <c r="F10" s="25"/>
      <c r="G10" s="18"/>
      <c r="I10" s="25"/>
      <c r="J10" s="25"/>
    </row>
    <row r="11" spans="1:10" x14ac:dyDescent="0.25">
      <c r="A11" s="3" t="s">
        <v>15</v>
      </c>
      <c r="B11" s="4"/>
      <c r="C11" s="52">
        <v>9788</v>
      </c>
      <c r="F11" s="25"/>
      <c r="G11" s="18"/>
      <c r="I11" s="25"/>
      <c r="J11" s="25"/>
    </row>
    <row r="12" spans="1:10" x14ac:dyDescent="0.25">
      <c r="A12" s="3" t="s">
        <v>16</v>
      </c>
      <c r="B12" s="10"/>
      <c r="C12" s="11">
        <f>C9/C11</f>
        <v>0.93992644053943608</v>
      </c>
      <c r="E12" s="25"/>
    </row>
    <row r="13" spans="1:10" hidden="1" x14ac:dyDescent="0.25">
      <c r="A13" s="3" t="s">
        <v>17</v>
      </c>
      <c r="B13" s="10"/>
      <c r="C13" s="11" t="e">
        <f>C9/$B$9-1</f>
        <v>#VALUE!</v>
      </c>
    </row>
    <row r="14" spans="1:10" x14ac:dyDescent="0.25">
      <c r="A14" s="21" t="s">
        <v>18</v>
      </c>
      <c r="B14" s="22"/>
      <c r="C14" s="22">
        <f>C9/C3</f>
        <v>9.1999999999999998E-3</v>
      </c>
    </row>
    <row r="15" spans="1:10" x14ac:dyDescent="0.25">
      <c r="A15" s="3" t="s">
        <v>19</v>
      </c>
      <c r="B15" s="12">
        <v>0.22</v>
      </c>
      <c r="C15" s="13">
        <v>0.2</v>
      </c>
      <c r="E15" s="19"/>
      <c r="F15" s="19"/>
    </row>
    <row r="16" spans="1:10" x14ac:dyDescent="0.25">
      <c r="A16" s="14" t="s">
        <v>20</v>
      </c>
      <c r="B16" s="46"/>
      <c r="C16" s="47" t="s">
        <v>21</v>
      </c>
      <c r="E16" s="20"/>
      <c r="F16" s="20"/>
    </row>
    <row r="17" spans="1:3" x14ac:dyDescent="0.25">
      <c r="A17" s="55" t="s">
        <v>22</v>
      </c>
      <c r="B17" s="56"/>
      <c r="C17" s="56"/>
    </row>
    <row r="18" spans="1:3" x14ac:dyDescent="0.25">
      <c r="A18" s="6" t="s">
        <v>23</v>
      </c>
      <c r="B18" s="15">
        <v>5000000</v>
      </c>
      <c r="C18" s="5">
        <v>500000</v>
      </c>
    </row>
    <row r="19" spans="1:3" x14ac:dyDescent="0.25">
      <c r="A19" s="3" t="s">
        <v>24</v>
      </c>
      <c r="B19" s="12">
        <v>0</v>
      </c>
      <c r="C19" s="16">
        <v>0</v>
      </c>
    </row>
    <row r="20" spans="1:3" x14ac:dyDescent="0.25">
      <c r="A20" s="6" t="s">
        <v>25</v>
      </c>
      <c r="B20" s="4">
        <v>5000000</v>
      </c>
      <c r="C20" s="5">
        <v>1000000</v>
      </c>
    </row>
    <row r="21" spans="1:3" x14ac:dyDescent="0.25">
      <c r="A21" s="3" t="s">
        <v>26</v>
      </c>
      <c r="B21" s="12">
        <v>0</v>
      </c>
      <c r="C21" s="16">
        <v>0</v>
      </c>
    </row>
    <row r="22" spans="1:3" x14ac:dyDescent="0.25">
      <c r="A22" s="59" t="s">
        <v>27</v>
      </c>
      <c r="B22" s="60">
        <v>0</v>
      </c>
      <c r="C22" s="61"/>
    </row>
    <row r="23" spans="1:3" x14ac:dyDescent="0.25">
      <c r="A23" s="59" t="s">
        <v>28</v>
      </c>
      <c r="B23" s="60">
        <v>0</v>
      </c>
      <c r="C23" s="60">
        <v>0</v>
      </c>
    </row>
    <row r="24" spans="1:3" x14ac:dyDescent="0.25">
      <c r="A24" s="59" t="s">
        <v>29</v>
      </c>
      <c r="B24" s="60">
        <v>0</v>
      </c>
      <c r="C24" s="61">
        <v>0</v>
      </c>
    </row>
    <row r="25" spans="1:3" x14ac:dyDescent="0.25">
      <c r="A25" s="62" t="s">
        <v>30</v>
      </c>
      <c r="B25" s="63">
        <v>0</v>
      </c>
      <c r="C25" s="61"/>
    </row>
    <row r="26" spans="1:3" x14ac:dyDescent="0.25">
      <c r="A26" s="59" t="s">
        <v>31</v>
      </c>
      <c r="B26" s="60">
        <v>0</v>
      </c>
      <c r="C26" s="61">
        <v>0</v>
      </c>
    </row>
    <row r="27" spans="1:3" x14ac:dyDescent="0.25">
      <c r="A27" s="59" t="s">
        <v>32</v>
      </c>
      <c r="B27" s="60">
        <v>0</v>
      </c>
      <c r="C27" s="60" t="s">
        <v>75</v>
      </c>
    </row>
    <row r="28" spans="1:3" x14ac:dyDescent="0.25">
      <c r="A28" s="59" t="s">
        <v>33</v>
      </c>
      <c r="B28" s="60">
        <v>0</v>
      </c>
      <c r="C28" s="61">
        <v>0</v>
      </c>
    </row>
    <row r="29" spans="1:3" x14ac:dyDescent="0.25">
      <c r="A29" s="26" t="s">
        <v>34</v>
      </c>
      <c r="B29" s="24">
        <v>5000000</v>
      </c>
      <c r="C29" s="24">
        <v>500000</v>
      </c>
    </row>
    <row r="30" spans="1:3" x14ac:dyDescent="0.25">
      <c r="A30" s="59" t="s">
        <v>35</v>
      </c>
      <c r="B30" s="60">
        <v>0</v>
      </c>
      <c r="C30" s="60">
        <v>0</v>
      </c>
    </row>
    <row r="31" spans="1:3" x14ac:dyDescent="0.25">
      <c r="A31" s="23" t="s">
        <v>36</v>
      </c>
      <c r="B31" s="23" t="s">
        <v>37</v>
      </c>
      <c r="C31" s="23" t="s">
        <v>37</v>
      </c>
    </row>
    <row r="32" spans="1:3" x14ac:dyDescent="0.25">
      <c r="A32" s="26" t="s">
        <v>38</v>
      </c>
      <c r="B32" s="24">
        <v>5000000</v>
      </c>
      <c r="C32" s="24">
        <v>1000000</v>
      </c>
    </row>
    <row r="33" spans="1:3" x14ac:dyDescent="0.25">
      <c r="A33" s="55" t="s">
        <v>39</v>
      </c>
      <c r="B33" s="56"/>
      <c r="C33" s="56"/>
    </row>
    <row r="34" spans="1:3" x14ac:dyDescent="0.25">
      <c r="A34" s="3" t="s">
        <v>40</v>
      </c>
      <c r="B34" s="4">
        <v>5000000</v>
      </c>
      <c r="C34" s="5">
        <v>1000000</v>
      </c>
    </row>
    <row r="35" spans="1:3" x14ac:dyDescent="0.25">
      <c r="A35" s="3" t="s">
        <v>41</v>
      </c>
      <c r="B35" s="4">
        <v>5000000</v>
      </c>
      <c r="C35" s="5">
        <v>1000000</v>
      </c>
    </row>
    <row r="36" spans="1:3" x14ac:dyDescent="0.25">
      <c r="A36" s="3" t="s">
        <v>42</v>
      </c>
      <c r="B36" s="4">
        <v>2500000</v>
      </c>
      <c r="C36" s="5">
        <v>1000000</v>
      </c>
    </row>
    <row r="37" spans="1:3" x14ac:dyDescent="0.25">
      <c r="A37" s="3" t="s">
        <v>43</v>
      </c>
      <c r="B37" s="4">
        <v>5000000</v>
      </c>
      <c r="C37" s="5">
        <v>1000000</v>
      </c>
    </row>
    <row r="38" spans="1:3" x14ac:dyDescent="0.25">
      <c r="A38" s="3" t="s">
        <v>44</v>
      </c>
      <c r="B38" s="4">
        <v>5000000</v>
      </c>
      <c r="C38" s="5">
        <v>1000000</v>
      </c>
    </row>
    <row r="39" spans="1:3" x14ac:dyDescent="0.25">
      <c r="A39" s="3" t="s">
        <v>45</v>
      </c>
      <c r="B39" s="4">
        <v>5000000</v>
      </c>
      <c r="C39" s="5">
        <v>1000000</v>
      </c>
    </row>
    <row r="40" spans="1:3" x14ac:dyDescent="0.25">
      <c r="A40" s="3" t="s">
        <v>46</v>
      </c>
      <c r="B40" s="4">
        <v>5000000</v>
      </c>
      <c r="C40" s="5">
        <v>1000000</v>
      </c>
    </row>
    <row r="41" spans="1:3" x14ac:dyDescent="0.25">
      <c r="A41" s="59" t="s">
        <v>47</v>
      </c>
      <c r="B41" s="60">
        <v>0</v>
      </c>
      <c r="C41" s="60"/>
    </row>
    <row r="42" spans="1:3" x14ac:dyDescent="0.25">
      <c r="A42" s="59" t="s">
        <v>48</v>
      </c>
      <c r="B42" s="60">
        <v>0</v>
      </c>
      <c r="C42" s="60"/>
    </row>
    <row r="43" spans="1:3" x14ac:dyDescent="0.25">
      <c r="A43" s="59" t="s">
        <v>49</v>
      </c>
      <c r="B43" s="60">
        <v>0</v>
      </c>
      <c r="C43" s="61"/>
    </row>
  </sheetData>
  <mergeCells count="3">
    <mergeCell ref="A1:C1"/>
    <mergeCell ref="A17:C17"/>
    <mergeCell ref="A33:C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FB65-01D1-474B-847E-69D592AE4EBB}">
  <dimension ref="A2:G65"/>
  <sheetViews>
    <sheetView showGridLines="0" workbookViewId="0">
      <selection activeCell="D23" sqref="D23"/>
    </sheetView>
  </sheetViews>
  <sheetFormatPr defaultRowHeight="15" x14ac:dyDescent="0.25"/>
  <cols>
    <col min="2" max="2" width="11.85546875" bestFit="1" customWidth="1"/>
    <col min="3" max="3" width="10" bestFit="1" customWidth="1"/>
    <col min="4" max="4" width="12" bestFit="1" customWidth="1"/>
    <col min="5" max="5" width="10" bestFit="1" customWidth="1"/>
    <col min="6" max="6" width="15.7109375" bestFit="1" customWidth="1"/>
    <col min="7" max="7" width="10" bestFit="1" customWidth="1"/>
    <col min="9" max="9" width="8.28515625" bestFit="1" customWidth="1"/>
    <col min="10" max="10" width="11.85546875" bestFit="1" customWidth="1"/>
    <col min="11" max="11" width="10" bestFit="1" customWidth="1"/>
    <col min="12" max="12" width="12" bestFit="1" customWidth="1"/>
    <col min="13" max="13" width="10" bestFit="1" customWidth="1"/>
    <col min="14" max="14" width="15.7109375" bestFit="1" customWidth="1"/>
    <col min="15" max="15" width="10" bestFit="1" customWidth="1"/>
  </cols>
  <sheetData>
    <row r="2" spans="1:7" x14ac:dyDescent="0.25">
      <c r="A2" s="57" t="s">
        <v>50</v>
      </c>
      <c r="B2" s="57"/>
      <c r="C2" s="57"/>
      <c r="D2" s="57"/>
      <c r="E2" s="57"/>
      <c r="F2" s="57"/>
      <c r="G2" s="57"/>
    </row>
    <row r="3" spans="1:7" x14ac:dyDescent="0.25">
      <c r="A3" s="30" t="s">
        <v>51</v>
      </c>
      <c r="B3" s="30" t="s">
        <v>52</v>
      </c>
      <c r="C3" s="30" t="s">
        <v>53</v>
      </c>
      <c r="D3" s="30" t="s">
        <v>54</v>
      </c>
      <c r="E3" s="30" t="s">
        <v>55</v>
      </c>
      <c r="F3" s="30" t="s">
        <v>56</v>
      </c>
      <c r="G3" s="30" t="s">
        <v>57</v>
      </c>
    </row>
    <row r="4" spans="1:7" x14ac:dyDescent="0.25">
      <c r="A4" s="31" t="s">
        <v>58</v>
      </c>
      <c r="B4" s="58" t="s">
        <v>59</v>
      </c>
      <c r="C4" s="32">
        <v>182495</v>
      </c>
      <c r="D4" s="32">
        <v>13813</v>
      </c>
      <c r="E4" s="32">
        <v>0</v>
      </c>
      <c r="F4" s="32">
        <f>$H$18*C4</f>
        <v>0</v>
      </c>
      <c r="G4" s="33">
        <f>+C4-D4-E4-F4</f>
        <v>168682</v>
      </c>
    </row>
    <row r="5" spans="1:7" x14ac:dyDescent="0.25">
      <c r="A5" s="31" t="s">
        <v>60</v>
      </c>
      <c r="B5" s="58"/>
      <c r="C5" s="32">
        <v>140400</v>
      </c>
      <c r="D5" s="32">
        <v>13813</v>
      </c>
      <c r="E5" s="32">
        <v>0</v>
      </c>
      <c r="F5" s="32">
        <f>$H$18*C5</f>
        <v>0</v>
      </c>
      <c r="G5" s="33">
        <f t="shared" ref="G5:G7" si="0">+C5-D5-E5-F5</f>
        <v>126587</v>
      </c>
    </row>
    <row r="6" spans="1:7" x14ac:dyDescent="0.25">
      <c r="A6" s="31" t="s">
        <v>61</v>
      </c>
      <c r="B6" s="58"/>
      <c r="C6" s="32">
        <v>122850</v>
      </c>
      <c r="D6" s="32">
        <v>13813</v>
      </c>
      <c r="E6" s="32">
        <v>0</v>
      </c>
      <c r="F6" s="32">
        <f>$H$18*C6</f>
        <v>0</v>
      </c>
      <c r="G6" s="33">
        <f t="shared" si="0"/>
        <v>109037</v>
      </c>
    </row>
    <row r="7" spans="1:7" x14ac:dyDescent="0.25">
      <c r="A7" s="31" t="s">
        <v>62</v>
      </c>
      <c r="B7" s="58"/>
      <c r="C7" s="32">
        <v>138206</v>
      </c>
      <c r="D7" s="32">
        <v>13813</v>
      </c>
      <c r="E7" s="32">
        <v>312418</v>
      </c>
      <c r="F7" s="32">
        <f>$H$18*C7</f>
        <v>0</v>
      </c>
      <c r="G7" s="33">
        <f t="shared" si="0"/>
        <v>-188025</v>
      </c>
    </row>
    <row r="8" spans="1:7" x14ac:dyDescent="0.25">
      <c r="A8" s="34" t="s">
        <v>63</v>
      </c>
      <c r="B8" s="35"/>
      <c r="C8" s="36">
        <f>SUM(C4:C7)</f>
        <v>583951</v>
      </c>
      <c r="D8" s="36">
        <f>SUM(D4:D7)</f>
        <v>55252</v>
      </c>
      <c r="E8" s="36">
        <f>SUM(E4:E7)</f>
        <v>312418</v>
      </c>
      <c r="F8" s="36">
        <f>SUM(F4:F7)</f>
        <v>0</v>
      </c>
      <c r="G8" s="36">
        <f>SUM(G4:G7)</f>
        <v>216281</v>
      </c>
    </row>
    <row r="9" spans="1:7" x14ac:dyDescent="0.25">
      <c r="A9" s="37"/>
      <c r="B9" s="37"/>
      <c r="C9" s="38"/>
      <c r="D9" s="32"/>
      <c r="E9" s="32"/>
      <c r="F9" s="37"/>
      <c r="G9" s="37"/>
    </row>
    <row r="10" spans="1:7" x14ac:dyDescent="0.25">
      <c r="A10" s="37"/>
      <c r="B10" s="37"/>
      <c r="C10" s="38"/>
      <c r="D10" s="32"/>
      <c r="E10" s="32"/>
      <c r="F10" s="39" t="s">
        <v>64</v>
      </c>
      <c r="G10" s="40">
        <f>+D8/C8</f>
        <v>9.4617527840520868E-2</v>
      </c>
    </row>
    <row r="11" spans="1:7" x14ac:dyDescent="0.25">
      <c r="A11" s="37"/>
      <c r="B11" s="37"/>
      <c r="C11" s="38"/>
      <c r="D11" s="32"/>
      <c r="E11" s="32"/>
      <c r="F11" s="39" t="s">
        <v>65</v>
      </c>
      <c r="G11" s="40">
        <f>+F8/C8</f>
        <v>0</v>
      </c>
    </row>
    <row r="12" spans="1:7" x14ac:dyDescent="0.25">
      <c r="A12" s="37"/>
      <c r="B12" s="37"/>
      <c r="C12" s="38"/>
      <c r="D12" s="32"/>
      <c r="E12" s="37"/>
      <c r="F12" s="39" t="s">
        <v>66</v>
      </c>
      <c r="G12" s="40">
        <f>+E8/C8</f>
        <v>0.5350072180713793</v>
      </c>
    </row>
    <row r="13" spans="1:7" x14ac:dyDescent="0.25">
      <c r="A13" s="37"/>
      <c r="B13" s="37"/>
      <c r="C13" s="38"/>
      <c r="D13" s="32"/>
      <c r="E13" s="37"/>
      <c r="F13" s="41" t="s">
        <v>67</v>
      </c>
      <c r="G13" s="42">
        <f>+SUM(G10:G12)</f>
        <v>0.62962474591190021</v>
      </c>
    </row>
    <row r="15" spans="1:7" x14ac:dyDescent="0.25">
      <c r="A15" s="57" t="s">
        <v>50</v>
      </c>
      <c r="B15" s="57"/>
      <c r="C15" s="57"/>
      <c r="D15" s="57"/>
      <c r="E15" s="57"/>
      <c r="F15" s="57"/>
      <c r="G15" s="57"/>
    </row>
    <row r="16" spans="1:7" x14ac:dyDescent="0.25">
      <c r="A16" s="30" t="s">
        <v>51</v>
      </c>
      <c r="B16" s="30" t="s">
        <v>52</v>
      </c>
      <c r="C16" s="30" t="s">
        <v>53</v>
      </c>
      <c r="D16" s="30" t="s">
        <v>54</v>
      </c>
      <c r="E16" s="30" t="s">
        <v>55</v>
      </c>
      <c r="F16" s="30" t="s">
        <v>56</v>
      </c>
      <c r="G16" s="30" t="s">
        <v>57</v>
      </c>
    </row>
    <row r="17" spans="1:7" x14ac:dyDescent="0.25">
      <c r="A17" s="31" t="s">
        <v>58</v>
      </c>
      <c r="B17" s="58" t="s">
        <v>68</v>
      </c>
      <c r="C17" s="32">
        <v>211000</v>
      </c>
      <c r="D17" s="32">
        <v>0</v>
      </c>
      <c r="E17" s="32">
        <v>0</v>
      </c>
      <c r="F17" s="32">
        <f>$H$18*C17</f>
        <v>0</v>
      </c>
      <c r="G17" s="33">
        <f>+C17-D17-E17-F17</f>
        <v>211000</v>
      </c>
    </row>
    <row r="18" spans="1:7" x14ac:dyDescent="0.25">
      <c r="A18" s="31" t="s">
        <v>60</v>
      </c>
      <c r="B18" s="58"/>
      <c r="C18" s="32">
        <v>187500</v>
      </c>
      <c r="D18" s="32">
        <v>0</v>
      </c>
      <c r="E18" s="32">
        <v>0</v>
      </c>
      <c r="F18" s="32">
        <f>$H$18*C18</f>
        <v>0</v>
      </c>
      <c r="G18" s="33">
        <f t="shared" ref="G18:G20" si="1">+C18-D18-E18-F18</f>
        <v>187500</v>
      </c>
    </row>
    <row r="19" spans="1:7" x14ac:dyDescent="0.25">
      <c r="A19" s="31" t="s">
        <v>61</v>
      </c>
      <c r="B19" s="58"/>
      <c r="C19" s="32">
        <v>16000</v>
      </c>
      <c r="D19" s="32">
        <v>0</v>
      </c>
      <c r="E19" s="32">
        <v>0</v>
      </c>
      <c r="F19" s="32">
        <f>$H$18*C19</f>
        <v>0</v>
      </c>
      <c r="G19" s="33">
        <f t="shared" si="1"/>
        <v>16000</v>
      </c>
    </row>
    <row r="20" spans="1:7" x14ac:dyDescent="0.25">
      <c r="A20" s="31" t="s">
        <v>62</v>
      </c>
      <c r="B20" s="58"/>
      <c r="C20" s="32">
        <v>28000</v>
      </c>
      <c r="D20" s="32">
        <v>0</v>
      </c>
      <c r="E20" s="32">
        <v>0</v>
      </c>
      <c r="F20" s="32">
        <f>$H$18*C20</f>
        <v>0</v>
      </c>
      <c r="G20" s="33">
        <f t="shared" si="1"/>
        <v>28000</v>
      </c>
    </row>
    <row r="21" spans="1:7" x14ac:dyDescent="0.25">
      <c r="A21" s="34" t="s">
        <v>63</v>
      </c>
      <c r="B21" s="35"/>
      <c r="C21" s="36">
        <f>SUM(C17:C20)</f>
        <v>442500</v>
      </c>
      <c r="D21" s="36">
        <f>SUM(D17:D20)</f>
        <v>0</v>
      </c>
      <c r="E21" s="36">
        <f>SUM(E17:E20)</f>
        <v>0</v>
      </c>
      <c r="F21" s="36">
        <f>SUM(F17:F20)</f>
        <v>0</v>
      </c>
      <c r="G21" s="36">
        <f>SUM(G17:G20)</f>
        <v>442500</v>
      </c>
    </row>
    <row r="22" spans="1:7" x14ac:dyDescent="0.25">
      <c r="A22" s="37"/>
      <c r="B22" s="37"/>
      <c r="C22" s="38"/>
      <c r="D22" s="32"/>
      <c r="E22" s="32"/>
      <c r="F22" s="37"/>
      <c r="G22" s="37"/>
    </row>
    <row r="23" spans="1:7" x14ac:dyDescent="0.25">
      <c r="A23" s="37"/>
      <c r="B23" s="37"/>
      <c r="C23" s="38"/>
      <c r="D23" s="32"/>
      <c r="E23" s="32"/>
      <c r="F23" s="39" t="s">
        <v>64</v>
      </c>
      <c r="G23" s="40">
        <f>+D21/C21</f>
        <v>0</v>
      </c>
    </row>
    <row r="24" spans="1:7" x14ac:dyDescent="0.25">
      <c r="A24" s="37"/>
      <c r="B24" s="37"/>
      <c r="C24" s="38"/>
      <c r="D24" s="32"/>
      <c r="E24" s="32"/>
      <c r="F24" s="39" t="s">
        <v>65</v>
      </c>
      <c r="G24" s="40">
        <f>+F21/C21</f>
        <v>0</v>
      </c>
    </row>
    <row r="25" spans="1:7" x14ac:dyDescent="0.25">
      <c r="A25" s="37"/>
      <c r="B25" s="37"/>
      <c r="C25" s="38"/>
      <c r="D25" s="32"/>
      <c r="E25" s="37"/>
      <c r="F25" s="39" t="s">
        <v>66</v>
      </c>
      <c r="G25" s="40">
        <f>+E21/C21</f>
        <v>0</v>
      </c>
    </row>
    <row r="26" spans="1:7" x14ac:dyDescent="0.25">
      <c r="A26" s="37"/>
      <c r="B26" s="37"/>
      <c r="C26" s="38"/>
      <c r="D26" s="32"/>
      <c r="E26" s="37"/>
      <c r="F26" s="41" t="s">
        <v>67</v>
      </c>
      <c r="G26" s="42">
        <f>+SUM(G23:G25)</f>
        <v>0</v>
      </c>
    </row>
    <row r="28" spans="1:7" x14ac:dyDescent="0.25">
      <c r="A28" s="57" t="s">
        <v>50</v>
      </c>
      <c r="B28" s="57"/>
      <c r="C28" s="57"/>
      <c r="D28" s="57"/>
      <c r="E28" s="57"/>
      <c r="F28" s="57"/>
      <c r="G28" s="57"/>
    </row>
    <row r="29" spans="1:7" x14ac:dyDescent="0.25">
      <c r="A29" s="30" t="s">
        <v>51</v>
      </c>
      <c r="B29" s="30" t="s">
        <v>52</v>
      </c>
      <c r="C29" s="30" t="s">
        <v>53</v>
      </c>
      <c r="D29" s="30" t="s">
        <v>54</v>
      </c>
      <c r="E29" s="30" t="s">
        <v>55</v>
      </c>
      <c r="F29" s="30" t="s">
        <v>56</v>
      </c>
      <c r="G29" s="30" t="s">
        <v>57</v>
      </c>
    </row>
    <row r="30" spans="1:7" x14ac:dyDescent="0.25">
      <c r="A30" s="31" t="s">
        <v>58</v>
      </c>
      <c r="B30" s="58" t="s">
        <v>69</v>
      </c>
      <c r="C30" s="32">
        <v>90000</v>
      </c>
      <c r="D30" s="32">
        <v>0</v>
      </c>
      <c r="E30" s="32">
        <v>0</v>
      </c>
      <c r="F30" s="32">
        <f>$H$18*C30</f>
        <v>0</v>
      </c>
      <c r="G30" s="33">
        <f>+C30-D30-E30-F30</f>
        <v>90000</v>
      </c>
    </row>
    <row r="31" spans="1:7" x14ac:dyDescent="0.25">
      <c r="A31" s="31" t="s">
        <v>60</v>
      </c>
      <c r="B31" s="58"/>
      <c r="C31" s="32">
        <v>221112</v>
      </c>
      <c r="D31" s="32">
        <v>0</v>
      </c>
      <c r="E31" s="32">
        <v>0</v>
      </c>
      <c r="F31" s="32">
        <f>$H$18*C31</f>
        <v>0</v>
      </c>
      <c r="G31" s="33">
        <f t="shared" ref="G31:G33" si="2">+C31-D31-E31-F31</f>
        <v>221112</v>
      </c>
    </row>
    <row r="32" spans="1:7" x14ac:dyDescent="0.25">
      <c r="A32" s="31" t="s">
        <v>61</v>
      </c>
      <c r="B32" s="58"/>
      <c r="C32" s="32">
        <v>172300</v>
      </c>
      <c r="D32" s="32">
        <v>0</v>
      </c>
      <c r="E32" s="32">
        <v>0</v>
      </c>
      <c r="F32" s="32">
        <f>$H$18*C32</f>
        <v>0</v>
      </c>
      <c r="G32" s="33">
        <f t="shared" si="2"/>
        <v>172300</v>
      </c>
    </row>
    <row r="33" spans="1:7" x14ac:dyDescent="0.25">
      <c r="A33" s="31" t="s">
        <v>62</v>
      </c>
      <c r="B33" s="58"/>
      <c r="C33" s="32">
        <v>286600</v>
      </c>
      <c r="D33" s="32">
        <v>0</v>
      </c>
      <c r="E33" s="32">
        <v>0</v>
      </c>
      <c r="F33" s="32">
        <f>$H$18*C33</f>
        <v>0</v>
      </c>
      <c r="G33" s="33">
        <f t="shared" si="2"/>
        <v>286600</v>
      </c>
    </row>
    <row r="34" spans="1:7" x14ac:dyDescent="0.25">
      <c r="A34" s="34" t="s">
        <v>63</v>
      </c>
      <c r="B34" s="35"/>
      <c r="C34" s="36">
        <f>SUM(C30:C33)</f>
        <v>770012</v>
      </c>
      <c r="D34" s="36">
        <f>SUM(D30:D33)</f>
        <v>0</v>
      </c>
      <c r="E34" s="36">
        <f>SUM(E30:E33)</f>
        <v>0</v>
      </c>
      <c r="F34" s="36">
        <f>SUM(F30:F33)</f>
        <v>0</v>
      </c>
      <c r="G34" s="36">
        <f>SUM(G30:G33)</f>
        <v>770012</v>
      </c>
    </row>
    <row r="35" spans="1:7" x14ac:dyDescent="0.25">
      <c r="A35" s="37"/>
      <c r="B35" s="37"/>
      <c r="C35" s="38"/>
      <c r="D35" s="32"/>
      <c r="E35" s="32"/>
      <c r="F35" s="37"/>
      <c r="G35" s="37"/>
    </row>
    <row r="36" spans="1:7" x14ac:dyDescent="0.25">
      <c r="A36" s="37"/>
      <c r="B36" s="37"/>
      <c r="C36" s="38"/>
      <c r="D36" s="32"/>
      <c r="E36" s="32"/>
      <c r="F36" s="39" t="s">
        <v>64</v>
      </c>
      <c r="G36" s="40">
        <f>+D34/C34</f>
        <v>0</v>
      </c>
    </row>
    <row r="37" spans="1:7" x14ac:dyDescent="0.25">
      <c r="A37" s="37"/>
      <c r="B37" s="37"/>
      <c r="C37" s="38"/>
      <c r="D37" s="32"/>
      <c r="E37" s="32"/>
      <c r="F37" s="39" t="s">
        <v>65</v>
      </c>
      <c r="G37" s="40">
        <f>+F34/C34</f>
        <v>0</v>
      </c>
    </row>
    <row r="38" spans="1:7" x14ac:dyDescent="0.25">
      <c r="A38" s="37"/>
      <c r="B38" s="37"/>
      <c r="C38" s="38"/>
      <c r="D38" s="32"/>
      <c r="E38" s="37"/>
      <c r="F38" s="39" t="s">
        <v>66</v>
      </c>
      <c r="G38" s="40">
        <f>+E34/C34</f>
        <v>0</v>
      </c>
    </row>
    <row r="39" spans="1:7" x14ac:dyDescent="0.25">
      <c r="A39" s="37"/>
      <c r="B39" s="37"/>
      <c r="C39" s="38"/>
      <c r="D39" s="32"/>
      <c r="E39" s="37"/>
      <c r="F39" s="41" t="s">
        <v>67</v>
      </c>
      <c r="G39" s="42">
        <f>+SUM(G36:G38)</f>
        <v>0</v>
      </c>
    </row>
    <row r="41" spans="1:7" x14ac:dyDescent="0.25">
      <c r="A41" s="57" t="s">
        <v>50</v>
      </c>
      <c r="B41" s="57"/>
      <c r="C41" s="57"/>
      <c r="D41" s="57"/>
      <c r="E41" s="57"/>
      <c r="F41" s="57"/>
      <c r="G41" s="57"/>
    </row>
    <row r="42" spans="1:7" x14ac:dyDescent="0.25">
      <c r="A42" s="30" t="s">
        <v>51</v>
      </c>
      <c r="B42" s="30" t="s">
        <v>52</v>
      </c>
      <c r="C42" s="30" t="s">
        <v>53</v>
      </c>
      <c r="D42" s="30" t="s">
        <v>54</v>
      </c>
      <c r="E42" s="30" t="s">
        <v>55</v>
      </c>
      <c r="F42" s="30" t="s">
        <v>56</v>
      </c>
      <c r="G42" s="30" t="s">
        <v>57</v>
      </c>
    </row>
    <row r="43" spans="1:7" x14ac:dyDescent="0.25">
      <c r="A43" s="31" t="s">
        <v>58</v>
      </c>
      <c r="B43" s="58" t="s">
        <v>70</v>
      </c>
      <c r="C43" s="32">
        <v>90000</v>
      </c>
      <c r="D43" s="32">
        <v>0</v>
      </c>
      <c r="E43" s="32">
        <v>0</v>
      </c>
      <c r="F43" s="32">
        <f>$H$18*C43</f>
        <v>0</v>
      </c>
      <c r="G43" s="33">
        <f>+C43-D43-E43-F43</f>
        <v>90000</v>
      </c>
    </row>
    <row r="44" spans="1:7" x14ac:dyDescent="0.25">
      <c r="A44" s="31" t="s">
        <v>60</v>
      </c>
      <c r="B44" s="58"/>
      <c r="C44" s="32">
        <v>221112</v>
      </c>
      <c r="D44" s="32">
        <v>0</v>
      </c>
      <c r="E44" s="32">
        <v>0</v>
      </c>
      <c r="F44" s="32">
        <f>$H$18*C44</f>
        <v>0</v>
      </c>
      <c r="G44" s="33">
        <f t="shared" ref="G44:G46" si="3">+C44-D44-E44-F44</f>
        <v>221112</v>
      </c>
    </row>
    <row r="45" spans="1:7" x14ac:dyDescent="0.25">
      <c r="A45" s="31" t="s">
        <v>61</v>
      </c>
      <c r="B45" s="58"/>
      <c r="C45" s="32">
        <v>172300</v>
      </c>
      <c r="D45" s="32">
        <v>0</v>
      </c>
      <c r="E45" s="32">
        <v>0</v>
      </c>
      <c r="F45" s="32">
        <f>$H$18*C45</f>
        <v>0</v>
      </c>
      <c r="G45" s="33">
        <f t="shared" si="3"/>
        <v>172300</v>
      </c>
    </row>
    <row r="46" spans="1:7" x14ac:dyDescent="0.25">
      <c r="A46" s="31" t="s">
        <v>62</v>
      </c>
      <c r="B46" s="58"/>
      <c r="C46" s="32">
        <v>286600</v>
      </c>
      <c r="D46" s="32">
        <v>0</v>
      </c>
      <c r="E46" s="32">
        <v>0</v>
      </c>
      <c r="F46" s="32">
        <f>$H$18*C46</f>
        <v>0</v>
      </c>
      <c r="G46" s="33">
        <f t="shared" si="3"/>
        <v>286600</v>
      </c>
    </row>
    <row r="47" spans="1:7" x14ac:dyDescent="0.25">
      <c r="A47" s="34" t="s">
        <v>63</v>
      </c>
      <c r="B47" s="35"/>
      <c r="C47" s="36">
        <f>SUM(C43:C46)</f>
        <v>770012</v>
      </c>
      <c r="D47" s="36">
        <f>SUM(D43:D46)</f>
        <v>0</v>
      </c>
      <c r="E47" s="36">
        <f>SUM(E43:E46)</f>
        <v>0</v>
      </c>
      <c r="F47" s="36">
        <f>SUM(F43:F46)</f>
        <v>0</v>
      </c>
      <c r="G47" s="36">
        <f>SUM(G43:G46)</f>
        <v>770012</v>
      </c>
    </row>
    <row r="48" spans="1:7" x14ac:dyDescent="0.25">
      <c r="A48" s="37"/>
      <c r="B48" s="37"/>
      <c r="C48" s="38"/>
      <c r="D48" s="32"/>
      <c r="E48" s="32"/>
      <c r="F48" s="37"/>
      <c r="G48" s="37"/>
    </row>
    <row r="49" spans="1:7" x14ac:dyDescent="0.25">
      <c r="A49" s="37"/>
      <c r="B49" s="37"/>
      <c r="C49" s="38"/>
      <c r="D49" s="32"/>
      <c r="E49" s="32"/>
      <c r="F49" s="39" t="s">
        <v>64</v>
      </c>
      <c r="G49" s="40">
        <f>+D47/C47</f>
        <v>0</v>
      </c>
    </row>
    <row r="50" spans="1:7" x14ac:dyDescent="0.25">
      <c r="A50" s="37"/>
      <c r="B50" s="37"/>
      <c r="C50" s="38"/>
      <c r="D50" s="32"/>
      <c r="E50" s="32"/>
      <c r="F50" s="39" t="s">
        <v>65</v>
      </c>
      <c r="G50" s="40">
        <f>+F47/C47</f>
        <v>0</v>
      </c>
    </row>
    <row r="51" spans="1:7" x14ac:dyDescent="0.25">
      <c r="A51" s="37"/>
      <c r="B51" s="37"/>
      <c r="C51" s="38"/>
      <c r="D51" s="32"/>
      <c r="E51" s="37"/>
      <c r="F51" s="39" t="s">
        <v>66</v>
      </c>
      <c r="G51" s="40">
        <f>+E47/C47</f>
        <v>0</v>
      </c>
    </row>
    <row r="52" spans="1:7" x14ac:dyDescent="0.25">
      <c r="A52" s="37"/>
      <c r="B52" s="37"/>
      <c r="C52" s="38"/>
      <c r="D52" s="32"/>
      <c r="E52" s="37"/>
      <c r="F52" s="41" t="s">
        <v>67</v>
      </c>
      <c r="G52" s="42">
        <f>+SUM(G49:G51)</f>
        <v>0</v>
      </c>
    </row>
    <row r="54" spans="1:7" x14ac:dyDescent="0.25">
      <c r="A54" s="57" t="s">
        <v>50</v>
      </c>
      <c r="B54" s="57"/>
      <c r="C54" s="57"/>
      <c r="D54" s="57"/>
      <c r="E54" s="57"/>
      <c r="F54" s="57"/>
      <c r="G54" s="57"/>
    </row>
    <row r="55" spans="1:7" x14ac:dyDescent="0.25">
      <c r="A55" s="30" t="s">
        <v>51</v>
      </c>
      <c r="B55" s="30" t="s">
        <v>52</v>
      </c>
      <c r="C55" s="30" t="s">
        <v>53</v>
      </c>
      <c r="D55" s="30" t="s">
        <v>54</v>
      </c>
      <c r="E55" s="30" t="s">
        <v>55</v>
      </c>
      <c r="F55" s="30" t="s">
        <v>56</v>
      </c>
      <c r="G55" s="30" t="s">
        <v>57</v>
      </c>
    </row>
    <row r="56" spans="1:7" x14ac:dyDescent="0.25">
      <c r="A56" s="31" t="s">
        <v>58</v>
      </c>
      <c r="B56" s="58" t="s">
        <v>71</v>
      </c>
      <c r="C56" s="32">
        <v>83700</v>
      </c>
      <c r="D56" s="32">
        <v>0</v>
      </c>
      <c r="E56" s="32">
        <v>0</v>
      </c>
      <c r="F56" s="32">
        <f>$H$18*C56</f>
        <v>0</v>
      </c>
      <c r="G56" s="33">
        <f>+C56-D56-E56-F56</f>
        <v>83700</v>
      </c>
    </row>
    <row r="57" spans="1:7" x14ac:dyDescent="0.25">
      <c r="A57" s="31" t="s">
        <v>60</v>
      </c>
      <c r="B57" s="58"/>
      <c r="C57" s="32">
        <v>226666</v>
      </c>
      <c r="D57" s="32">
        <v>0</v>
      </c>
      <c r="E57" s="32">
        <v>0</v>
      </c>
      <c r="F57" s="32">
        <f>$H$18*C57</f>
        <v>0</v>
      </c>
      <c r="G57" s="33">
        <f t="shared" ref="G57:G59" si="4">+C57-D57-E57-F57</f>
        <v>226666</v>
      </c>
    </row>
    <row r="58" spans="1:7" x14ac:dyDescent="0.25">
      <c r="A58" s="31" t="s">
        <v>61</v>
      </c>
      <c r="B58" s="58"/>
      <c r="C58" s="32">
        <v>173827</v>
      </c>
      <c r="D58" s="32">
        <v>0</v>
      </c>
      <c r="E58" s="32">
        <v>0</v>
      </c>
      <c r="F58" s="32">
        <f>$H$18*C58</f>
        <v>0</v>
      </c>
      <c r="G58" s="33">
        <f t="shared" si="4"/>
        <v>173827</v>
      </c>
    </row>
    <row r="59" spans="1:7" x14ac:dyDescent="0.25">
      <c r="A59" s="31" t="s">
        <v>62</v>
      </c>
      <c r="B59" s="58"/>
      <c r="C59" s="32">
        <v>285057</v>
      </c>
      <c r="D59" s="32">
        <v>0</v>
      </c>
      <c r="E59" s="32">
        <v>0</v>
      </c>
      <c r="F59" s="32">
        <f>$H$18*C59</f>
        <v>0</v>
      </c>
      <c r="G59" s="33">
        <f t="shared" si="4"/>
        <v>285057</v>
      </c>
    </row>
    <row r="60" spans="1:7" x14ac:dyDescent="0.25">
      <c r="A60" s="34" t="s">
        <v>63</v>
      </c>
      <c r="B60" s="35"/>
      <c r="C60" s="36">
        <f>SUM(C56:C59)</f>
        <v>769250</v>
      </c>
      <c r="D60" s="36">
        <f>SUM(D56:D59)</f>
        <v>0</v>
      </c>
      <c r="E60" s="36">
        <f>SUM(E56:E59)</f>
        <v>0</v>
      </c>
      <c r="F60" s="36">
        <f>SUM(F56:F59)</f>
        <v>0</v>
      </c>
      <c r="G60" s="36">
        <f>SUM(G56:G59)</f>
        <v>769250</v>
      </c>
    </row>
    <row r="61" spans="1:7" x14ac:dyDescent="0.25">
      <c r="A61" s="37"/>
      <c r="B61" s="37"/>
      <c r="C61" s="38"/>
      <c r="D61" s="32"/>
      <c r="E61" s="32"/>
      <c r="F61" s="37"/>
      <c r="G61" s="37"/>
    </row>
    <row r="62" spans="1:7" x14ac:dyDescent="0.25">
      <c r="A62" s="37"/>
      <c r="B62" s="37"/>
      <c r="C62" s="38"/>
      <c r="D62" s="32"/>
      <c r="E62" s="32"/>
      <c r="F62" s="39" t="s">
        <v>64</v>
      </c>
      <c r="G62" s="40">
        <f>+D60/C60</f>
        <v>0</v>
      </c>
    </row>
    <row r="63" spans="1:7" x14ac:dyDescent="0.25">
      <c r="A63" s="37"/>
      <c r="B63" s="37"/>
      <c r="C63" s="38"/>
      <c r="D63" s="32"/>
      <c r="E63" s="32"/>
      <c r="F63" s="39" t="s">
        <v>65</v>
      </c>
      <c r="G63" s="40">
        <f>+F60/C60</f>
        <v>0</v>
      </c>
    </row>
    <row r="64" spans="1:7" x14ac:dyDescent="0.25">
      <c r="A64" s="37"/>
      <c r="B64" s="37"/>
      <c r="C64" s="38"/>
      <c r="D64" s="32"/>
      <c r="E64" s="37"/>
      <c r="F64" s="39" t="s">
        <v>66</v>
      </c>
      <c r="G64" s="40">
        <f>+E60/C60</f>
        <v>0</v>
      </c>
    </row>
    <row r="65" spans="1:7" x14ac:dyDescent="0.25">
      <c r="A65" s="37"/>
      <c r="B65" s="37"/>
      <c r="C65" s="38"/>
      <c r="D65" s="32"/>
      <c r="E65" s="37"/>
      <c r="F65" s="41" t="s">
        <v>67</v>
      </c>
      <c r="G65" s="42">
        <f>+SUM(G62:G64)</f>
        <v>0</v>
      </c>
    </row>
  </sheetData>
  <mergeCells count="10">
    <mergeCell ref="A41:G41"/>
    <mergeCell ref="B43:B46"/>
    <mergeCell ref="A54:G54"/>
    <mergeCell ref="B56:B59"/>
    <mergeCell ref="A2:G2"/>
    <mergeCell ref="B4:B7"/>
    <mergeCell ref="A15:G15"/>
    <mergeCell ref="B17:B20"/>
    <mergeCell ref="A28:G28"/>
    <mergeCell ref="B30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T&amp;C SIGMA</vt:lpstr>
      <vt:lpstr>P&amp;L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Rangel, Daniela Monserrat</dc:creator>
  <cp:keywords/>
  <dc:description/>
  <cp:lastModifiedBy>Hernandez, Oswaldo [CTR]</cp:lastModifiedBy>
  <cp:revision/>
  <dcterms:created xsi:type="dcterms:W3CDTF">2025-02-10T22:08:02Z</dcterms:created>
  <dcterms:modified xsi:type="dcterms:W3CDTF">2025-10-22T18:05:56Z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5fc5bc-c9e2-44ae-bd42-5c3cbdd817bc_Enabled">
    <vt:lpwstr>true</vt:lpwstr>
  </property>
  <property fmtid="{D5CDD505-2E9C-101B-9397-08002B2CF9AE}" pid="3" name="MSIP_Label_d35fc5bc-c9e2-44ae-bd42-5c3cbdd817bc_SetDate">
    <vt:lpwstr>2025-02-10T22:08:15Z</vt:lpwstr>
  </property>
  <property fmtid="{D5CDD505-2E9C-101B-9397-08002B2CF9AE}" pid="4" name="MSIP_Label_d35fc5bc-c9e2-44ae-bd42-5c3cbdd817bc_Method">
    <vt:lpwstr>Standard</vt:lpwstr>
  </property>
  <property fmtid="{D5CDD505-2E9C-101B-9397-08002B2CF9AE}" pid="5" name="MSIP_Label_d35fc5bc-c9e2-44ae-bd42-5c3cbdd817bc_Name">
    <vt:lpwstr>Yellow Data - LATAM</vt:lpwstr>
  </property>
  <property fmtid="{D5CDD505-2E9C-101B-9397-08002B2CF9AE}" pid="6" name="MSIP_Label_d35fc5bc-c9e2-44ae-bd42-5c3cbdd817bc_SiteId">
    <vt:lpwstr>fffcdc91-d561-4287-aebc-78d2466eec29</vt:lpwstr>
  </property>
  <property fmtid="{D5CDD505-2E9C-101B-9397-08002B2CF9AE}" pid="7" name="MSIP_Label_d35fc5bc-c9e2-44ae-bd42-5c3cbdd817bc_ActionId">
    <vt:lpwstr>cbacd083-d8a7-4be1-ab36-f81f515ac9f4</vt:lpwstr>
  </property>
  <property fmtid="{D5CDD505-2E9C-101B-9397-08002B2CF9AE}" pid="8" name="MSIP_Label_d35fc5bc-c9e2-44ae-bd42-5c3cbdd817bc_ContentBits">
    <vt:lpwstr>0</vt:lpwstr>
  </property>
</Properties>
</file>